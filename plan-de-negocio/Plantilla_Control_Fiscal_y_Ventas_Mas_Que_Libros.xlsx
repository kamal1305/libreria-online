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AEAT (Trimestres)" state="visible" r:id="rId4"/>
    <sheet sheetId="2" name="Libro Ventas (Ingresos)" state="visible" r:id="rId5"/>
    <sheet sheetId="3" name="Libro Gastos (Facturas)" state="visible" r:id="rId6"/>
    <sheet sheetId="4" name="Compras Libros Particulares" state="visible" r:id="rId7"/>
  </sheets>
  <calcPr calcId="171027"/>
</workbook>
</file>

<file path=xl/sharedStrings.xml><?xml version="1.0" encoding="utf-8"?>
<sst xmlns="http://schemas.openxmlformats.org/spreadsheetml/2006/main" count="176" uniqueCount="132">
  <si>
    <t>MÁS QUE LIBROS · PÁGINAS Y CAFÉ — CONTROL FISCAL Y TRIMESTRAL 2026</t>
  </si>
  <si>
    <t>Autoliquidación trimestral para la Agencia Tributaria (Modelo 303 IVA y Modelo 130 IRPF)</t>
  </si>
  <si>
    <t>CONCEPTO TRIBUTARIO</t>
  </si>
  <si>
    <t>1T (Ene-Mar)</t>
  </si>
  <si>
    <t>2T (Abr-Jun)</t>
  </si>
  <si>
    <t>3T (Jul-Sep)</t>
  </si>
  <si>
    <t>4T (Oct-Dic)</t>
  </si>
  <si>
    <t>TOTAL ANUAL</t>
  </si>
  <si>
    <t>══ MODELO 303: IMPUESTO SOBRE EL VALOR AÑADIDO (IVA) ══</t>
  </si>
  <si>
    <t>Base Imponible Ventas Libros (IVA 4%)</t>
  </si>
  <si>
    <t>[Casilla 03] Cuota IVA Repercutido (4%)</t>
  </si>
  <si>
    <t>Base Imponible Gastos Deducibles (IVA 21%)</t>
  </si>
  <si>
    <t>[Casilla 29] Cuota IVA Soportado (21%)</t>
  </si>
  <si>
    <t>[Casilla 71] RESULTADO IVA (A Ingresar / Compensar)</t>
  </si>
  <si>
    <t/>
  </si>
  <si>
    <t>══ MODELO 130: PAGO FRACCIONADO IRPF (20% BENEFICIO) ══</t>
  </si>
  <si>
    <t>[Casilla 01] Ingresos Íntegros Trimestre</t>
  </si>
  <si>
    <t>[Casilla 02] Gastos Deducibles Totales (Material + Compras)</t>
  </si>
  <si>
    <t>[Casilla 03] Rendimiento Neto (Beneficio)</t>
  </si>
  <si>
    <t>[Casilla 07] Pago a cuenta IRPF (20% Beneficio)</t>
  </si>
  <si>
    <t>Fecha</t>
  </si>
  <si>
    <t>Nº Ticket/Ped.</t>
  </si>
  <si>
    <t>Canal</t>
  </si>
  <si>
    <t>Título Libro / Concepto</t>
  </si>
  <si>
    <t>Cliente</t>
  </si>
  <si>
    <t>Base Imp. (€)</t>
  </si>
  <si>
    <t>IVA %</t>
  </si>
  <si>
    <t>Cuota IVA (€)</t>
  </si>
  <si>
    <t>Total Cobrado (€)</t>
  </si>
  <si>
    <t>Método Pago</t>
  </si>
  <si>
    <t>Trimestre</t>
  </si>
  <si>
    <t>02/10/2026</t>
  </si>
  <si>
    <t>TK-2026-001</t>
  </si>
  <si>
    <t>Web / WhatsApp</t>
  </si>
  <si>
    <t>Alas de sangre (Rebecca Yarros)</t>
  </si>
  <si>
    <t>Elena Martínez</t>
  </si>
  <si>
    <t>=F2*G2</t>
  </si>
  <si>
    <t>=F2+H2</t>
  </si>
  <si>
    <t>Bizum</t>
  </si>
  <si>
    <t>4T</t>
  </si>
  <si>
    <t>03/10/2026</t>
  </si>
  <si>
    <t>TK-2026-002</t>
  </si>
  <si>
    <t>Recogida Jerez</t>
  </si>
  <si>
    <t>El último juego (J. D. Barker)</t>
  </si>
  <si>
    <t>Carlos Gómez</t>
  </si>
  <si>
    <t>=F3*G3</t>
  </si>
  <si>
    <t>=F3+H3</t>
  </si>
  <si>
    <t>En mano</t>
  </si>
  <si>
    <t>05/10/2026</t>
  </si>
  <si>
    <t>TK-2026-003</t>
  </si>
  <si>
    <t>Web Envío</t>
  </si>
  <si>
    <t>Mis días en la librería Morisaki</t>
  </si>
  <si>
    <t>Lucía Fernández</t>
  </si>
  <si>
    <t>=F4*G4</t>
  </si>
  <si>
    <t>=F4+H4</t>
  </si>
  <si>
    <t>07/10/2026</t>
  </si>
  <si>
    <t>TK-2026-004</t>
  </si>
  <si>
    <t>Instagram</t>
  </si>
  <si>
    <t>El verano en que mi madre...</t>
  </si>
  <si>
    <t>Marta Ruiz</t>
  </si>
  <si>
    <t>=F5*G5</t>
  </si>
  <si>
    <t>=F5+H5</t>
  </si>
  <si>
    <t>Transferencia</t>
  </si>
  <si>
    <t>10/10/2026</t>
  </si>
  <si>
    <t>TK-2026-005</t>
  </si>
  <si>
    <t>Cita a ciegas con un libro (Pack)</t>
  </si>
  <si>
    <t>Laura Benítez</t>
  </si>
  <si>
    <t>=F6*G6</t>
  </si>
  <si>
    <t>=F6+H6</t>
  </si>
  <si>
    <t>12/10/2026</t>
  </si>
  <si>
    <t>TK-2026-006</t>
  </si>
  <si>
    <t>Cumbres borrascosas (Emily Brontë)</t>
  </si>
  <si>
    <t>Manuel Sánchez</t>
  </si>
  <si>
    <t>=F7*G7</t>
  </si>
  <si>
    <t>=F7+H7</t>
  </si>
  <si>
    <t>15/10/2026</t>
  </si>
  <si>
    <t>TK-2026-007</t>
  </si>
  <si>
    <t>El retiro (Mark Edwards)</t>
  </si>
  <si>
    <t>Sara Moreno</t>
  </si>
  <si>
    <t>=F8*G8</t>
  </si>
  <si>
    <t>=F8+H8</t>
  </si>
  <si>
    <t>Nº Factura Prov.</t>
  </si>
  <si>
    <t>Proveedor / Empresa</t>
  </si>
  <si>
    <t>NIF / CIF</t>
  </si>
  <si>
    <t>Concepto del Gasto</t>
  </si>
  <si>
    <t>Total Factura (€)</t>
  </si>
  <si>
    <t>¿Deducible?</t>
  </si>
  <si>
    <t>01/10/2026</t>
  </si>
  <si>
    <t>F-2026/8941</t>
  </si>
  <si>
    <t>Sobres Kraft Ecológicos SL</t>
  </si>
  <si>
    <t>B11894512</t>
  </si>
  <si>
    <t>100 sobres acolchados reciclables</t>
  </si>
  <si>
    <t>SÍ</t>
  </si>
  <si>
    <t>INV-ES-981</t>
  </si>
  <si>
    <t>Imprenta Rápida Jerez</t>
  </si>
  <si>
    <t>B11451234</t>
  </si>
  <si>
    <t>250 pegatinas con logo + 200 marcapáginas</t>
  </si>
  <si>
    <t>FAC-90112</t>
  </si>
  <si>
    <t>Vercel / Dominio Web</t>
  </si>
  <si>
    <t>W0012389A</t>
  </si>
  <si>
    <t>Dominio masquelibros.es + hosting seguro</t>
  </si>
  <si>
    <t>TEL-89123</t>
  </si>
  <si>
    <t>Operador Móvil (Línea librería)</t>
  </si>
  <si>
    <t>A28015765</t>
  </si>
  <si>
    <t>Línea WhatsApp Business atención clientes</t>
  </si>
  <si>
    <t>TIK-4512</t>
  </si>
  <si>
    <t>Papelería Jerezana</t>
  </si>
  <si>
    <t>B11789123</t>
  </si>
  <si>
    <t>Báscula paquetería + cinta embalar kraft</t>
  </si>
  <si>
    <t>Nombre y Apellidos</t>
  </si>
  <si>
    <t>Teléfono / Contacto</t>
  </si>
  <si>
    <t>Nº Libros</t>
  </si>
  <si>
    <t>Títulos / Género Destacado</t>
  </si>
  <si>
    <t>Modalidad</t>
  </si>
  <si>
    <t>Importe (€) / Saldo</t>
  </si>
  <si>
    <t>Estado / Revisión</t>
  </si>
  <si>
    <t>04/10/2026</t>
  </si>
  <si>
    <t>Ana Belén Morales</t>
  </si>
  <si>
    <t>622 14 58 90</t>
  </si>
  <si>
    <t>Novela negra (Carmen Mola, Dolores Redondo)</t>
  </si>
  <si>
    <t>Excelente estado</t>
  </si>
  <si>
    <t>08/10/2026</t>
  </si>
  <si>
    <t>Javier Romero</t>
  </si>
  <si>
    <t>630 45 12 78</t>
  </si>
  <si>
    <t>Sagas juveniles y fantasía</t>
  </si>
  <si>
    <t>+20% Saldo Tienda</t>
  </si>
  <si>
    <t>Muy buen estado</t>
  </si>
  <si>
    <t>14/10/2026</t>
  </si>
  <si>
    <t>Rocío Valenzuela</t>
  </si>
  <si>
    <t>678 90 23 45</t>
  </si>
  <si>
    <t>Clásicos y narrativa contemporánea</t>
  </si>
  <si>
    <t>Como nuevos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</si>
</sst>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i/>
      <color rgb="FF666666"/>
      <sz val="10"/>
      <name val="Calibri"/>
    </font>
    <font>
      <b/>
      <color rgb="FFFFFFFF"/>
    </font>
    <font>
      <b/>
      <color rgb="FF3C3733"/>
    </font>
    <font>
      <b/>
      <color rgb="FF1E5E2A"/>
    </font>
    <font>
      <b/>
      <color rgb="FFB45309"/>
    </font>
  </fonts>
  <fills count="5">
    <fill>
      <patternFill patternType="none"/>
    </fill>
    <fill>
      <patternFill patternType="gray125"/>
    </fill>
    <fill>
      <patternFill patternType="solid">
        <fgColor rgb="FF3C3733"/>
      </patternFill>
    </fill>
    <fill>
      <patternFill patternType="solid">
        <fgColor rgb="FF6E8270"/>
      </patternFill>
    </fill>
    <fill>
      <patternFill patternType="solid">
        <fgColor rgb="FFE5EC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3C373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/>
    <xf numFmtId="164" fontId="0" fillId="0" borderId="0" xfId="0" applyNumberFormat="1"/>
    <xf numFmtId="0" fontId="5" fillId="0" borderId="0" xfId="0" applyFont="1"/>
    <xf numFmtId="164" fontId="5" fillId="0" borderId="0" xfId="0" applyNumberFormat="1" applyFont="1"/>
    <xf numFmtId="164" fontId="4" fillId="4" borderId="0" xfId="0" applyNumberFormat="1" applyFont="1" applyFill="1"/>
    <xf numFmtId="0" fontId="6" fillId="0" borderId="0" xfId="0" applyFont="1"/>
    <xf numFmtId="164" fontId="6" fillId="0" borderId="0" xfId="0" applyNumberFormat="1" applyFont="1"/>
    <xf numFmtId="0" fontId="3" fillId="3" borderId="0" xfId="0" applyFont="1" applyFill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38" customWidth="1"/>
    <col min="2" max="5" width="16" customWidth="1"/>
    <col min="6" max="6" width="18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8" customHeight="1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22" customHeight="1" spans="1:6" x14ac:dyDescent="0.25">
      <c r="A4" s="4" t="s">
        <v>8</v>
      </c>
      <c r="B4" s="4"/>
      <c r="C4" s="4"/>
      <c r="D4" s="4"/>
      <c r="E4" s="4"/>
      <c r="F4" s="4"/>
    </row>
    <row r="5" spans="1:6" x14ac:dyDescent="0.25">
      <c r="A5" t="s">
        <v>9</v>
      </c>
      <c r="B5" s="5">
        <v>850</v>
      </c>
      <c r="C5" s="5">
        <v>1250</v>
      </c>
      <c r="D5" s="5">
        <v>1420</v>
      </c>
      <c r="E5" s="5">
        <v>2100</v>
      </c>
      <c r="F5" s="5">
        <f>SUM(B5:E5)</f>
      </c>
    </row>
    <row r="6" spans="1:6" x14ac:dyDescent="0.25">
      <c r="A6" t="s">
        <v>10</v>
      </c>
      <c r="B6" s="5">
        <f>B5*0.04</f>
      </c>
      <c r="C6" s="5">
        <f>C5*0.04</f>
      </c>
      <c r="D6" s="5">
        <f>D5*0.04</f>
      </c>
      <c r="E6" s="5">
        <f>E5*0.04</f>
      </c>
      <c r="F6" s="5">
        <f>SUM(B6:E6)</f>
      </c>
    </row>
    <row r="7" spans="1:6" x14ac:dyDescent="0.25">
      <c r="A7" t="s">
        <v>11</v>
      </c>
      <c r="B7" s="5">
        <v>180</v>
      </c>
      <c r="C7" s="5">
        <v>140</v>
      </c>
      <c r="D7" s="5">
        <v>160</v>
      </c>
      <c r="E7" s="5">
        <v>250</v>
      </c>
      <c r="F7" s="5">
        <f>SUM(B7:E7)</f>
      </c>
    </row>
    <row r="8" spans="1:6" x14ac:dyDescent="0.25">
      <c r="A8" t="s">
        <v>12</v>
      </c>
      <c r="B8" s="5">
        <f>B7*0.21</f>
      </c>
      <c r="C8" s="5">
        <f>C7*0.21</f>
      </c>
      <c r="D8" s="5">
        <f>D7*0.21</f>
      </c>
      <c r="E8" s="5">
        <f>E7*0.21</f>
      </c>
      <c r="F8" s="5">
        <f>SUM(B8:E8)</f>
      </c>
    </row>
    <row r="9" spans="1:6" s="6" customFormat="1" x14ac:dyDescent="0.25">
      <c r="A9" s="6" t="s">
        <v>13</v>
      </c>
      <c r="B9" s="7">
        <f>B6-B8</f>
      </c>
      <c r="C9" s="7">
        <f>C6-C8</f>
      </c>
      <c r="D9" s="7">
        <f>D6-D8</f>
      </c>
      <c r="E9" s="7">
        <f>E6-E8</f>
      </c>
      <c r="F9" s="7">
        <f>SUM(B9:E9)</f>
      </c>
    </row>
    <row r="10" spans="1:6" x14ac:dyDescent="0.25">
      <c r="A10" t="s">
        <v>14</v>
      </c>
      <c r="B10" s="5"/>
      <c r="C10" s="5"/>
      <c r="D10" s="5"/>
      <c r="E10" s="5"/>
      <c r="F10" s="5"/>
    </row>
    <row r="11" ht="22" customHeight="1" spans="1:6" x14ac:dyDescent="0.25">
      <c r="A11" s="8" t="s">
        <v>15</v>
      </c>
      <c r="B11" s="8"/>
      <c r="C11" s="8"/>
      <c r="D11" s="8"/>
      <c r="E11" s="8"/>
      <c r="F11" s="8"/>
    </row>
    <row r="12" spans="1:6" x14ac:dyDescent="0.25">
      <c r="A12" t="s">
        <v>16</v>
      </c>
      <c r="B12" s="5">
        <f>B5</f>
      </c>
      <c r="C12" s="5">
        <f>C5</f>
      </c>
      <c r="D12" s="5">
        <f>D5</f>
      </c>
      <c r="E12" s="5">
        <f>E5</f>
      </c>
      <c r="F12" s="5">
        <f>SUM(B12:E12)</f>
      </c>
    </row>
    <row r="13" spans="1:6" x14ac:dyDescent="0.25">
      <c r="A13" t="s">
        <v>17</v>
      </c>
      <c r="B13" s="5">
        <v>320</v>
      </c>
      <c r="C13" s="5">
        <v>290</v>
      </c>
      <c r="D13" s="5">
        <v>310</v>
      </c>
      <c r="E13" s="5">
        <v>480</v>
      </c>
      <c r="F13" s="5">
        <f>SUM(B13:E13)</f>
      </c>
    </row>
    <row r="14" spans="1:6" x14ac:dyDescent="0.25">
      <c r="A14" t="s">
        <v>18</v>
      </c>
      <c r="B14" s="5">
        <f>MAX(0, B12-B13)</f>
      </c>
      <c r="C14" s="5">
        <f>MAX(0, C12-C13)</f>
      </c>
      <c r="D14" s="5">
        <f>MAX(0, D12-D13)</f>
      </c>
      <c r="E14" s="5">
        <f>MAX(0, E12-E13)</f>
      </c>
      <c r="F14" s="5">
        <f>SUM(B14:E14)</f>
      </c>
    </row>
    <row r="15" spans="1:6" s="9" customFormat="1" x14ac:dyDescent="0.25">
      <c r="A15" s="9" t="s">
        <v>19</v>
      </c>
      <c r="B15" s="10">
        <f>B14*0.20</f>
      </c>
      <c r="C15" s="10">
        <f>C14*0.20</f>
      </c>
      <c r="D15" s="10">
        <f>D14*0.20</f>
      </c>
      <c r="E15" s="10">
        <f>E14*0.20</f>
      </c>
      <c r="F15" s="10">
        <f>SUM(B15:E15)</f>
      </c>
    </row>
  </sheetData>
  <mergeCells count="4">
    <mergeCell ref="A1:F1"/>
    <mergeCell ref="A2:F2"/>
    <mergeCell ref="A4:F4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 outlineLevelRow="0" outlineLevelCol="0" x14ac:dyDescent="55"/>
  <cols>
    <col min="1" max="1" width="13" customWidth="1"/>
    <col min="2" max="2" width="15" customWidth="1"/>
    <col min="3" max="3" width="16" customWidth="1"/>
    <col min="4" max="4" width="34" customWidth="1"/>
    <col min="5" max="5" width="22" customWidth="1"/>
    <col min="6" max="6" width="14" customWidth="1"/>
    <col min="7" max="7" width="10" customWidth="1"/>
    <col min="8" max="8" width="14" customWidth="1"/>
    <col min="9" max="9" width="16" customWidth="1"/>
    <col min="10" max="10" width="15" customWidth="1"/>
    <col min="11" max="11" width="11" customWidth="1"/>
  </cols>
  <sheetData>
    <row r="1" ht="26" customHeight="1" spans="1:11" x14ac:dyDescent="0.25">
      <c r="A1" s="11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30</v>
      </c>
    </row>
    <row r="2" spans="1:1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s="5">
        <v>11.54</v>
      </c>
      <c r="G2" s="12">
        <v>0.04</v>
      </c>
      <c r="H2" s="5" t="s">
        <v>36</v>
      </c>
      <c r="I2" s="5" t="s">
        <v>37</v>
      </c>
      <c r="J2" t="s">
        <v>38</v>
      </c>
      <c r="K2" t="s">
        <v>39</v>
      </c>
    </row>
    <row r="3" spans="1:11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s="5">
        <v>9.13</v>
      </c>
      <c r="G3" s="12">
        <v>0.04</v>
      </c>
      <c r="H3" s="5" t="s">
        <v>45</v>
      </c>
      <c r="I3" s="5" t="s">
        <v>46</v>
      </c>
      <c r="J3" t="s">
        <v>47</v>
      </c>
      <c r="K3" t="s">
        <v>39</v>
      </c>
    </row>
    <row r="4" spans="1:11" x14ac:dyDescent="0.2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s="5">
        <v>8.17</v>
      </c>
      <c r="G4" s="12">
        <v>0.04</v>
      </c>
      <c r="H4" s="5" t="s">
        <v>53</v>
      </c>
      <c r="I4" s="5" t="s">
        <v>54</v>
      </c>
      <c r="J4" t="s">
        <v>38</v>
      </c>
      <c r="K4" t="s">
        <v>39</v>
      </c>
    </row>
    <row r="5" spans="1:11" x14ac:dyDescent="0.2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s="5">
        <v>8.65</v>
      </c>
      <c r="G5" s="12">
        <v>0.04</v>
      </c>
      <c r="H5" s="5" t="s">
        <v>60</v>
      </c>
      <c r="I5" s="5" t="s">
        <v>61</v>
      </c>
      <c r="J5" t="s">
        <v>62</v>
      </c>
      <c r="K5" t="s">
        <v>39</v>
      </c>
    </row>
    <row r="6" spans="1:11" x14ac:dyDescent="0.25">
      <c r="A6" t="s">
        <v>63</v>
      </c>
      <c r="B6" t="s">
        <v>64</v>
      </c>
      <c r="C6" t="s">
        <v>50</v>
      </c>
      <c r="D6" t="s">
        <v>65</v>
      </c>
      <c r="E6" t="s">
        <v>66</v>
      </c>
      <c r="F6" s="5">
        <v>12.02</v>
      </c>
      <c r="G6" s="12">
        <v>0.04</v>
      </c>
      <c r="H6" s="5" t="s">
        <v>67</v>
      </c>
      <c r="I6" s="5" t="s">
        <v>68</v>
      </c>
      <c r="J6" t="s">
        <v>38</v>
      </c>
      <c r="K6" t="s">
        <v>39</v>
      </c>
    </row>
    <row r="7" spans="1:11" x14ac:dyDescent="0.25">
      <c r="A7" t="s">
        <v>69</v>
      </c>
      <c r="B7" t="s">
        <v>70</v>
      </c>
      <c r="C7" t="s">
        <v>42</v>
      </c>
      <c r="D7" t="s">
        <v>71</v>
      </c>
      <c r="E7" t="s">
        <v>72</v>
      </c>
      <c r="F7" s="5">
        <v>7.69</v>
      </c>
      <c r="G7" s="12">
        <v>0.04</v>
      </c>
      <c r="H7" s="5" t="s">
        <v>73</v>
      </c>
      <c r="I7" s="5" t="s">
        <v>74</v>
      </c>
      <c r="J7" t="s">
        <v>38</v>
      </c>
      <c r="K7" t="s">
        <v>39</v>
      </c>
    </row>
    <row r="8" spans="1:11" x14ac:dyDescent="0.25">
      <c r="A8" t="s">
        <v>75</v>
      </c>
      <c r="B8" t="s">
        <v>76</v>
      </c>
      <c r="C8" t="s">
        <v>50</v>
      </c>
      <c r="D8" t="s">
        <v>77</v>
      </c>
      <c r="E8" t="s">
        <v>78</v>
      </c>
      <c r="F8" s="5">
        <v>8.17</v>
      </c>
      <c r="G8" s="12">
        <v>0.04</v>
      </c>
      <c r="H8" s="5" t="s">
        <v>79</v>
      </c>
      <c r="I8" s="5" t="s">
        <v>80</v>
      </c>
      <c r="J8" t="s">
        <v>38</v>
      </c>
      <c r="K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25" customWidth="1"/>
    <col min="4" max="4" width="14" customWidth="1"/>
    <col min="5" max="5" width="34" customWidth="1"/>
    <col min="6" max="6" width="14" customWidth="1"/>
    <col min="7" max="7" width="10" customWidth="1"/>
    <col min="8" max="8" width="14" customWidth="1"/>
    <col min="9" max="9" width="16" customWidth="1"/>
    <col min="10" max="10" width="13" customWidth="1"/>
    <col min="11" max="11" width="11" customWidth="1"/>
  </cols>
  <sheetData>
    <row r="1" ht="26" customHeight="1" spans="1:11" x14ac:dyDescent="0.25">
      <c r="A1" s="11" t="s">
        <v>20</v>
      </c>
      <c r="B1" s="11" t="s">
        <v>81</v>
      </c>
      <c r="C1" s="11" t="s">
        <v>82</v>
      </c>
      <c r="D1" s="11" t="s">
        <v>83</v>
      </c>
      <c r="E1" s="11" t="s">
        <v>84</v>
      </c>
      <c r="F1" s="11" t="s">
        <v>25</v>
      </c>
      <c r="G1" s="11" t="s">
        <v>26</v>
      </c>
      <c r="H1" s="11" t="s">
        <v>27</v>
      </c>
      <c r="I1" s="11" t="s">
        <v>85</v>
      </c>
      <c r="J1" s="11" t="s">
        <v>86</v>
      </c>
      <c r="K1" s="11" t="s">
        <v>30</v>
      </c>
    </row>
    <row r="2" spans="1:11" x14ac:dyDescent="0.25">
      <c r="A2" t="s">
        <v>87</v>
      </c>
      <c r="B2" t="s">
        <v>88</v>
      </c>
      <c r="C2" t="s">
        <v>89</v>
      </c>
      <c r="D2" t="s">
        <v>90</v>
      </c>
      <c r="E2" t="s">
        <v>91</v>
      </c>
      <c r="F2" s="5">
        <v>38.02</v>
      </c>
      <c r="G2" s="12">
        <v>0.21</v>
      </c>
      <c r="H2" s="5" t="s">
        <v>36</v>
      </c>
      <c r="I2" s="5" t="s">
        <v>37</v>
      </c>
      <c r="J2" t="s">
        <v>92</v>
      </c>
      <c r="K2" t="s">
        <v>39</v>
      </c>
    </row>
    <row r="3" spans="1:11" x14ac:dyDescent="0.25">
      <c r="A3" t="s">
        <v>31</v>
      </c>
      <c r="B3" t="s">
        <v>93</v>
      </c>
      <c r="C3" t="s">
        <v>94</v>
      </c>
      <c r="D3" t="s">
        <v>95</v>
      </c>
      <c r="E3" t="s">
        <v>96</v>
      </c>
      <c r="F3" s="5">
        <v>45.45</v>
      </c>
      <c r="G3" s="12">
        <v>0.21</v>
      </c>
      <c r="H3" s="5" t="s">
        <v>45</v>
      </c>
      <c r="I3" s="5" t="s">
        <v>46</v>
      </c>
      <c r="J3" t="s">
        <v>92</v>
      </c>
      <c r="K3" t="s">
        <v>39</v>
      </c>
    </row>
    <row r="4" spans="1:11" x14ac:dyDescent="0.25">
      <c r="A4" t="s">
        <v>48</v>
      </c>
      <c r="B4" t="s">
        <v>97</v>
      </c>
      <c r="C4" t="s">
        <v>98</v>
      </c>
      <c r="D4" t="s">
        <v>99</v>
      </c>
      <c r="E4" t="s">
        <v>100</v>
      </c>
      <c r="F4" s="5">
        <v>24.79</v>
      </c>
      <c r="G4" s="12">
        <v>0.21</v>
      </c>
      <c r="H4" s="5" t="s">
        <v>53</v>
      </c>
      <c r="I4" s="5" t="s">
        <v>54</v>
      </c>
      <c r="J4" t="s">
        <v>92</v>
      </c>
      <c r="K4" t="s">
        <v>39</v>
      </c>
    </row>
    <row r="5" spans="1:11" x14ac:dyDescent="0.25">
      <c r="A5" t="s">
        <v>63</v>
      </c>
      <c r="B5" t="s">
        <v>101</v>
      </c>
      <c r="C5" t="s">
        <v>102</v>
      </c>
      <c r="D5" t="s">
        <v>103</v>
      </c>
      <c r="E5" t="s">
        <v>104</v>
      </c>
      <c r="F5" s="5">
        <v>16.53</v>
      </c>
      <c r="G5" s="12">
        <v>0.21</v>
      </c>
      <c r="H5" s="5" t="s">
        <v>60</v>
      </c>
      <c r="I5" s="5" t="s">
        <v>61</v>
      </c>
      <c r="J5" t="s">
        <v>92</v>
      </c>
      <c r="K5" t="s">
        <v>39</v>
      </c>
    </row>
    <row r="6" spans="1:11" x14ac:dyDescent="0.25">
      <c r="A6" t="s">
        <v>69</v>
      </c>
      <c r="B6" t="s">
        <v>105</v>
      </c>
      <c r="C6" t="s">
        <v>106</v>
      </c>
      <c r="D6" t="s">
        <v>107</v>
      </c>
      <c r="E6" t="s">
        <v>108</v>
      </c>
      <c r="F6" s="5">
        <v>22.31</v>
      </c>
      <c r="G6" s="12">
        <v>0.21</v>
      </c>
      <c r="H6" s="5" t="s">
        <v>67</v>
      </c>
      <c r="I6" s="5" t="s">
        <v>68</v>
      </c>
      <c r="J6" t="s">
        <v>92</v>
      </c>
      <c r="K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3" customWidth="1"/>
    <col min="2" max="2" width="24" customWidth="1"/>
    <col min="3" max="3" width="18" customWidth="1"/>
    <col min="4" max="4" width="12" customWidth="1"/>
    <col min="5" max="5" width="36" customWidth="1"/>
    <col min="6" max="6" width="22" customWidth="1"/>
    <col min="7" max="7" width="18" customWidth="1"/>
    <col min="8" max="8" width="20" customWidth="1"/>
  </cols>
  <sheetData>
    <row r="1" ht="26" customHeight="1" spans="1:8" x14ac:dyDescent="0.25">
      <c r="A1" s="11" t="s">
        <v>20</v>
      </c>
      <c r="B1" s="11" t="s">
        <v>109</v>
      </c>
      <c r="C1" s="11" t="s">
        <v>110</v>
      </c>
      <c r="D1" s="11" t="s">
        <v>111</v>
      </c>
      <c r="E1" s="11" t="s">
        <v>112</v>
      </c>
      <c r="F1" s="11" t="s">
        <v>113</v>
      </c>
      <c r="G1" s="11" t="s">
        <v>114</v>
      </c>
      <c r="H1" s="11" t="s">
        <v>115</v>
      </c>
    </row>
    <row r="2" spans="1:8" x14ac:dyDescent="0.25">
      <c r="A2" t="s">
        <v>116</v>
      </c>
      <c r="B2" t="s">
        <v>117</v>
      </c>
      <c r="C2" t="s">
        <v>118</v>
      </c>
      <c r="D2" s="13">
        <v>14</v>
      </c>
      <c r="E2" t="s">
        <v>119</v>
      </c>
      <c r="F2" t="s">
        <v>38</v>
      </c>
      <c r="G2" s="5">
        <v>28</v>
      </c>
      <c r="H2" t="s">
        <v>120</v>
      </c>
    </row>
    <row r="3" spans="1:8" x14ac:dyDescent="0.25">
      <c r="A3" t="s">
        <v>121</v>
      </c>
      <c r="B3" t="s">
        <v>122</v>
      </c>
      <c r="C3" t="s">
        <v>123</v>
      </c>
      <c r="D3" s="13">
        <v>22</v>
      </c>
      <c r="E3" t="s">
        <v>124</v>
      </c>
      <c r="F3" t="s">
        <v>125</v>
      </c>
      <c r="G3" s="5">
        <v>52.8</v>
      </c>
      <c r="H3" t="s">
        <v>126</v>
      </c>
    </row>
    <row r="4" spans="1:8" x14ac:dyDescent="0.25">
      <c r="A4" t="s">
        <v>127</v>
      </c>
      <c r="B4" t="s">
        <v>128</v>
      </c>
      <c r="C4" t="s">
        <v>129</v>
      </c>
      <c r="D4" s="13">
        <v>8</v>
      </c>
      <c r="E4" t="s">
        <v>130</v>
      </c>
      <c r="F4" t="s">
        <v>47</v>
      </c>
      <c r="G4" s="5">
        <v>16</v>
      </c>
      <c r="H4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AEAT (Trimestres)</vt:lpstr>
      <vt:lpstr>Libro Ventas (Ingresos)</vt:lpstr>
      <vt:lpstr>Libro Gastos (Facturas)</vt:lpstr>
      <vt:lpstr>Compras Libros Particulares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Más que libros · Páginas y café</dc:creator>
  <dc:title/>
  <dc:subject/>
  <dc:description/>
  <cp:keywords/>
  <cp:category/>
  <cp:lastModifiedBy>Antigravity</cp:lastModifiedBy>
  <dcterms:created xsi:type="dcterms:W3CDTF">2026-09-21T20:24:54Z</dcterms:created>
  <dcterms:modified xsi:type="dcterms:W3CDTF">2026-09-21T20:24:54Z</dcterms:modified>
</cp:coreProperties>
</file>